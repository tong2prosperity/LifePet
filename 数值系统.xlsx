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改动边界" sheetId="2" state="visible" r:id="rId2"/>
    <sheet xmlns:r="http://schemas.openxmlformats.org/officeDocument/2006/relationships" name="参数" sheetId="3" state="visible" r:id="rId3"/>
    <sheet xmlns:r="http://schemas.openxmlformats.org/officeDocument/2006/relationships" name="评分曲线" sheetId="4" state="visible" r:id="rId4"/>
    <sheet xmlns:r="http://schemas.openxmlformats.org/officeDocument/2006/relationships" name="每日能量" sheetId="5" state="visible" r:id="rId5"/>
    <sheet xmlns:r="http://schemas.openxmlformats.org/officeDocument/2006/relationships" name="产出差异" sheetId="6" state="visible" r:id="rId6"/>
    <sheet xmlns:r="http://schemas.openxmlformats.org/officeDocument/2006/relationships" name="价目与TTU" sheetId="7" state="visible" r:id="rId7"/>
    <sheet xmlns:r="http://schemas.openxmlformats.org/officeDocument/2006/relationships" name="节律奖励" sheetId="8" state="visible" r:id="rId8"/>
    <sheet xmlns:r="http://schemas.openxmlformats.org/officeDocument/2006/relationships" name="来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3D"/>
      <sz val="14"/>
    </font>
    <font>
      <name val="Noto Sans CJK SC"/>
      <family val="2"/>
      <b val="1"/>
      <color rgb="FF1F3A3D"/>
      <sz val="14"/>
    </font>
    <font>
      <name val="Arial"/>
      <charset val="1"/>
      <family val="0"/>
      <color rgb="FF000000"/>
      <sz val="11"/>
    </font>
    <font>
      <name val="Noto Sans CJK SC"/>
      <charset val="1"/>
      <family val="2"/>
      <color rgb="FF000000"/>
      <sz val="11"/>
    </font>
    <font>
      <name val="Noto Sans CJK SC"/>
      <family val="2"/>
      <color rgb="FF000000"/>
      <sz val="11"/>
    </font>
    <font>
      <name val="Noto Sans CJK SC"/>
      <family val="2"/>
      <b val="1"/>
      <sz val="11"/>
    </font>
    <font>
      <name val="Noto Sans CJK SC"/>
      <family val="2"/>
      <b val="1"/>
      <color rgb="FFFFFFFF"/>
      <sz val="11"/>
    </font>
    <font>
      <name val="Arial"/>
      <charset val="1"/>
      <family val="0"/>
      <b val="1"/>
      <sz val="11"/>
    </font>
    <font>
      <name val="Noto Sans CJK SC"/>
      <family val="2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Noto Sans CJK SC"/>
      <charset val="1"/>
      <family val="2"/>
      <b val="1"/>
      <color rgb="FF1F3A3D"/>
      <sz val="14"/>
    </font>
    <font>
      <name val="Noto Sans CJK SC"/>
      <charset val="1"/>
      <family val="2"/>
      <b val="1"/>
      <color rgb="FFFFFFFF"/>
      <sz val="11"/>
    </font>
    <font>
      <name val="Arial"/>
      <charset val="1"/>
      <family val="0"/>
      <color rgb="FF0000FF"/>
      <sz val="11"/>
    </font>
    <font>
      <name val="Noto Sans CJK SC"/>
      <charset val="1"/>
      <family val="2"/>
      <b val="1"/>
      <color rgb="FF000000"/>
      <sz val="11"/>
    </font>
    <font>
      <name val="Noto Sans CJK SC"/>
      <charset val="1"/>
      <family val="2"/>
      <i val="1"/>
      <color rgb="FF000000"/>
      <sz val="11"/>
    </font>
    <font>
      <name val="Arial"/>
      <charset val="1"/>
      <family val="0"/>
      <color rgb="FF008000"/>
      <sz val="11"/>
    </font>
    <font>
      <name val="Noto Sans CJK SC"/>
      <charset val="1"/>
      <family val="2"/>
      <color rgb="FF008000"/>
      <sz val="11"/>
    </font>
    <font>
      <name val="Arial"/>
      <charset val="1"/>
      <family val="0"/>
      <b val="1"/>
      <color rgb="FF000000"/>
      <sz val="11"/>
    </font>
    <font>
      <name val="Noto Sans CJK SC"/>
      <family val="2"/>
      <b val="1"/>
      <color rgb="FF000000"/>
      <sz val="11"/>
    </font>
    <font>
      <name val="Arial"/>
      <b val="1"/>
      <color rgb="001F3A3D"/>
      <sz val="14"/>
    </font>
    <font>
      <name val="Arial"/>
    </font>
    <font>
      <name val="Arial"/>
      <b val="1"/>
      <color rgb="00FFFFFF"/>
    </font>
    <font>
      <name val="Arial"/>
      <color rgb="000000FF"/>
    </font>
    <font>
      <name val="Arial"/>
      <b val="1"/>
    </font>
    <font>
      <name val="Arial"/>
      <color rgb="00008000"/>
    </font>
    <font>
      <name val="Arial"/>
      <i val="1"/>
    </font>
  </fonts>
  <fills count="8">
    <fill>
      <patternFill/>
    </fill>
    <fill>
      <patternFill patternType="gray125"/>
    </fill>
    <fill>
      <patternFill patternType="solid">
        <fgColor rgb="FF2F5D62"/>
        <bgColor rgb="FF1F3A3D"/>
      </patternFill>
    </fill>
    <fill>
      <patternFill patternType="solid">
        <fgColor rgb="FFF4D9D9"/>
        <bgColor rgb="FFE8EEF1"/>
      </patternFill>
    </fill>
    <fill>
      <patternFill patternType="solid">
        <fgColor rgb="FFD9ECE0"/>
        <bgColor rgb="FFE8EEF1"/>
      </patternFill>
    </fill>
    <fill>
      <patternFill patternType="solid">
        <fgColor rgb="FFFFF2CC"/>
        <bgColor rgb="FFE8EEF1"/>
      </patternFill>
    </fill>
    <fill>
      <patternFill patternType="solid">
        <fgColor rgb="FFE8EEF1"/>
        <bgColor rgb="FFD9ECE0"/>
      </patternFill>
    </fill>
    <fill>
      <patternFill patternType="solid">
        <fgColor rgb="002F5D62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general" vertical="top" wrapText="1"/>
    </xf>
    <xf numFmtId="0" fontId="12" fillId="3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4" fillId="2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/>
    </xf>
    <xf numFmtId="0" fontId="16" fillId="2" borderId="1" applyAlignment="1" pivotButton="0" quotePrefix="0" xfId="0">
      <alignment horizontal="left" vertical="top"/>
    </xf>
    <xf numFmtId="0" fontId="16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left" vertical="top"/>
    </xf>
    <xf numFmtId="2" fontId="17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top" wrapText="1"/>
    </xf>
    <xf numFmtId="0" fontId="18" fillId="0" borderId="1" applyAlignment="1" pivotButton="0" quotePrefix="0" xfId="0">
      <alignment horizontal="left" vertical="top"/>
    </xf>
    <xf numFmtId="2" fontId="6" fillId="0" borderId="1" applyAlignment="1" pivotButton="0" quotePrefix="0" xfId="0">
      <alignment horizontal="center" vertical="bottom"/>
    </xf>
    <xf numFmtId="1" fontId="17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general" vertical="top" wrapText="1"/>
    </xf>
    <xf numFmtId="164" fontId="17" fillId="0" borderId="1" applyAlignment="1" pivotButton="0" quotePrefix="0" xfId="0">
      <alignment horizontal="center" vertical="bottom"/>
    </xf>
    <xf numFmtId="3" fontId="17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/>
    </xf>
    <xf numFmtId="0" fontId="19" fillId="0" borderId="0" applyAlignment="1" pivotButton="0" quotePrefix="0" xfId="0">
      <alignment horizontal="left" vertical="top"/>
    </xf>
    <xf numFmtId="0" fontId="7" fillId="0" borderId="1" applyAlignment="1" pivotButton="0" quotePrefix="0" xfId="0">
      <alignment horizontal="center" vertical="bottom"/>
    </xf>
    <xf numFmtId="2" fontId="20" fillId="0" borderId="1" applyAlignment="1" pivotButton="0" quotePrefix="0" xfId="0">
      <alignment horizontal="center" vertical="bottom"/>
    </xf>
    <xf numFmtId="1" fontId="20" fillId="0" borderId="1" applyAlignment="1" pivotButton="0" quotePrefix="0" xfId="0">
      <alignment horizontal="center" vertical="bottom"/>
    </xf>
    <xf numFmtId="1" fontId="6" fillId="0" borderId="1" applyAlignment="1" pivotButton="0" quotePrefix="0" xfId="0">
      <alignment horizontal="center" vertical="bottom"/>
    </xf>
    <xf numFmtId="0" fontId="21" fillId="0" borderId="1" applyAlignment="1" pivotButton="0" quotePrefix="0" xfId="0">
      <alignment horizontal="center" vertical="bottom"/>
    </xf>
    <xf numFmtId="164" fontId="20" fillId="0" borderId="1" applyAlignment="1" pivotButton="0" quotePrefix="0" xfId="0">
      <alignment horizontal="center" vertical="bottom"/>
    </xf>
    <xf numFmtId="0" fontId="18" fillId="6" borderId="1" applyAlignment="1" pivotButton="0" quotePrefix="0" xfId="0">
      <alignment horizontal="left" vertical="top"/>
    </xf>
    <xf numFmtId="1" fontId="6" fillId="6" borderId="1" applyAlignment="1" pivotButton="0" quotePrefix="0" xfId="0">
      <alignment horizontal="center" vertical="bottom"/>
    </xf>
    <xf numFmtId="164" fontId="20" fillId="6" borderId="1" applyAlignment="1" pivotButton="0" quotePrefix="0" xfId="0">
      <alignment horizontal="center" vertical="bottom"/>
    </xf>
    <xf numFmtId="0" fontId="18" fillId="0" borderId="1" applyAlignment="1" pivotButton="0" quotePrefix="0" xfId="0">
      <alignment horizontal="general" vertical="top" wrapText="1"/>
    </xf>
    <xf numFmtId="0" fontId="22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general" vertical="top" wrapText="1"/>
    </xf>
    <xf numFmtId="0" fontId="12" fillId="3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4" fillId="2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/>
    </xf>
    <xf numFmtId="0" fontId="16" fillId="2" borderId="1" applyAlignment="1" pivotButton="0" quotePrefix="0" xfId="0">
      <alignment horizontal="left" vertical="top"/>
    </xf>
    <xf numFmtId="0" fontId="16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left" vertical="top"/>
    </xf>
    <xf numFmtId="2" fontId="17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top" wrapText="1"/>
    </xf>
    <xf numFmtId="0" fontId="18" fillId="0" borderId="1" applyAlignment="1" pivotButton="0" quotePrefix="0" xfId="0">
      <alignment horizontal="left" vertical="top"/>
    </xf>
    <xf numFmtId="2" fontId="6" fillId="0" borderId="1" applyAlignment="1" pivotButton="0" quotePrefix="0" xfId="0">
      <alignment horizontal="center" vertical="bottom"/>
    </xf>
    <xf numFmtId="1" fontId="17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general" vertical="top" wrapText="1"/>
    </xf>
    <xf numFmtId="164" fontId="17" fillId="0" borderId="1" applyAlignment="1" pivotButton="0" quotePrefix="0" xfId="0">
      <alignment horizontal="center" vertical="bottom"/>
    </xf>
    <xf numFmtId="3" fontId="17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/>
    </xf>
    <xf numFmtId="0" fontId="19" fillId="0" borderId="0" applyAlignment="1" pivotButton="0" quotePrefix="0" xfId="0">
      <alignment horizontal="left" vertical="top"/>
    </xf>
    <xf numFmtId="0" fontId="7" fillId="0" borderId="1" applyAlignment="1" pivotButton="0" quotePrefix="0" xfId="0">
      <alignment horizontal="center" vertical="bottom"/>
    </xf>
    <xf numFmtId="2" fontId="20" fillId="0" borderId="1" applyAlignment="1" pivotButton="0" quotePrefix="0" xfId="0">
      <alignment horizontal="center" vertical="bottom"/>
    </xf>
    <xf numFmtId="1" fontId="20" fillId="0" borderId="1" applyAlignment="1" pivotButton="0" quotePrefix="0" xfId="0">
      <alignment horizontal="center" vertical="bottom"/>
    </xf>
    <xf numFmtId="1" fontId="6" fillId="0" borderId="1" applyAlignment="1" pivotButton="0" quotePrefix="0" xfId="0">
      <alignment horizontal="center" vertical="bottom"/>
    </xf>
    <xf numFmtId="0" fontId="21" fillId="0" borderId="1" applyAlignment="1" pivotButton="0" quotePrefix="0" xfId="0">
      <alignment horizontal="center" vertical="bottom"/>
    </xf>
    <xf numFmtId="164" fontId="20" fillId="0" borderId="1" applyAlignment="1" pivotButton="0" quotePrefix="0" xfId="0">
      <alignment horizontal="center" vertical="bottom"/>
    </xf>
    <xf numFmtId="0" fontId="18" fillId="6" borderId="1" applyAlignment="1" pivotButton="0" quotePrefix="0" xfId="0">
      <alignment horizontal="left" vertical="top"/>
    </xf>
    <xf numFmtId="1" fontId="6" fillId="6" borderId="1" applyAlignment="1" pivotButton="0" quotePrefix="0" xfId="0">
      <alignment horizontal="center" vertical="bottom"/>
    </xf>
    <xf numFmtId="164" fontId="20" fillId="6" borderId="1" applyAlignment="1" pivotButton="0" quotePrefix="0" xfId="0">
      <alignment horizontal="center" vertical="bottom"/>
    </xf>
    <xf numFmtId="0" fontId="24" fillId="0" borderId="0" applyAlignment="1" pivotButton="0" quotePrefix="0" xfId="0">
      <alignment horizontal="left" vertical="top"/>
    </xf>
    <xf numFmtId="0" fontId="25" fillId="0" borderId="0" applyAlignment="1" pivotButton="0" quotePrefix="0" xfId="0">
      <alignment vertical="top" wrapText="1"/>
    </xf>
    <xf numFmtId="0" fontId="26" fillId="7" borderId="2" applyAlignment="1" pivotButton="0" quotePrefix="0" xfId="0">
      <alignment horizontal="left" vertical="top"/>
    </xf>
    <xf numFmtId="0" fontId="26" fillId="7" borderId="2" applyAlignment="1" pivotButton="0" quotePrefix="0" xfId="0">
      <alignment horizontal="center"/>
    </xf>
    <xf numFmtId="0" fontId="25" fillId="0" borderId="2" applyAlignment="1" pivotButton="0" quotePrefix="0" xfId="0">
      <alignment horizontal="left" vertical="top"/>
    </xf>
    <xf numFmtId="1" fontId="27" fillId="0" borderId="2" applyAlignment="1" pivotButton="0" quotePrefix="0" xfId="0">
      <alignment horizontal="center"/>
    </xf>
    <xf numFmtId="2" fontId="27" fillId="0" borderId="2" applyAlignment="1" pivotButton="0" quotePrefix="0" xfId="0">
      <alignment horizontal="center"/>
    </xf>
    <xf numFmtId="0" fontId="28" fillId="0" borderId="0" applyAlignment="1" pivotButton="0" quotePrefix="0" xfId="0">
      <alignment horizontal="left" vertical="top"/>
    </xf>
    <xf numFmtId="2" fontId="25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left" vertical="top"/>
    </xf>
    <xf numFmtId="0" fontId="25" fillId="0" borderId="2" applyAlignment="1" pivotButton="0" quotePrefix="0" xfId="0">
      <alignment horizontal="center"/>
    </xf>
    <xf numFmtId="2" fontId="29" fillId="0" borderId="2" applyAlignment="1" pivotButton="0" quotePrefix="0" xfId="0">
      <alignment horizontal="center"/>
    </xf>
    <xf numFmtId="1" fontId="25" fillId="0" borderId="2" applyAlignment="1" pivotButton="0" quotePrefix="0" xfId="0">
      <alignment horizontal="center"/>
    </xf>
    <xf numFmtId="2" fontId="25" fillId="0" borderId="2" applyAlignment="1" pivotButton="0" quotePrefix="0" xfId="0">
      <alignment horizontal="center"/>
    </xf>
    <xf numFmtId="0" fontId="30" fillId="0" borderId="0" applyAlignment="1" pivotButton="0" quotePrefix="0" xfId="0">
      <alignment vertical="top" wrapText="1"/>
    </xf>
    <xf numFmtId="0" fontId="18" fillId="0" borderId="1" applyAlignment="1" pivotButton="0" quotePrefix="0" xfId="0">
      <alignment horizontal="general" vertical="top" wrapText="1"/>
    </xf>
    <xf numFmtId="0" fontId="22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8EE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CE0"/>
      <rgbColor rgb="FFFFFF99"/>
      <rgbColor rgb="FF99CCFF"/>
      <rgbColor rgb="FFFF99CC"/>
      <rgbColor rgb="FFCC99FF"/>
      <rgbColor rgb="FFF4D9D9"/>
      <rgbColor rgb="FF3366FF"/>
      <rgbColor rgb="FF33CCCC"/>
      <rgbColor rgb="FF99CC00"/>
      <rgbColor rgb="FFFFCC00"/>
      <rgbColor rgb="FFFF9900"/>
      <rgbColor rgb="FFFF6600"/>
      <rgbColor rgb="FF2F5D6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0" customWidth="1" style="44" min="1" max="1"/>
  </cols>
  <sheetData>
    <row r="1" ht="15.75" customHeight="1" s="45">
      <c r="A1" s="46" t="inlineStr">
        <is>
          <t>Pibo · 数值系统（bo 经济）— MVP 草案</t>
        </is>
      </c>
    </row>
    <row r="2" ht="15.75" customHeight="1" s="45">
      <c r="A2" s="47" t="n"/>
    </row>
    <row r="3" ht="15.75" customHeight="1" s="45">
      <c r="A3" s="48" t="inlineStr">
        <is>
          <t>用途：这是「数值→毛」「价目/TTU」「有表/无表产出差异」的单一信源。改“参数”页的蓝色旋钮，其余页自动重算。</t>
        </is>
      </c>
    </row>
    <row r="4" ht="15.75" customHeight="1" s="45">
      <c r="A4" s="47" t="n"/>
    </row>
    <row r="5" ht="15.75" customHeight="1" s="45">
      <c r="A5" s="48" t="inlineStr">
        <is>
          <t>【核心原理】Pibo 吃的是“规律与平衡”(=低熵)，不是“越多越好”。所以每个健康指标走“最优区间”曲线，</t>
        </is>
      </c>
    </row>
    <row r="6" ht="15.75" customHeight="1" s="45">
      <c r="A6" s="48" t="inlineStr">
        <is>
          <t>而非线性累加：睡好、走够、动得适度 → 长毛快；熬夜、暴走、过劳 = 噪声 → 长毛慢。这条原理同时满足</t>
        </is>
      </c>
    </row>
    <row r="7" ht="15.75" customHeight="1" s="45">
      <c r="A7" s="48" t="inlineStr">
        <is>
          <t>“符合现实健康科学”和“符合世界观”。文献支撑见“来源”页（步数/睡眠/运动/HRV 均有出处）。</t>
        </is>
      </c>
    </row>
    <row r="8" ht="15.75" customHeight="1" s="45">
      <c r="A8" s="47" t="n"/>
    </row>
    <row r="9" ht="15.75" customHeight="1" s="45">
      <c r="A9" s="48" t="inlineStr">
        <is>
          <t>【货币命名】正式货币 = bo（即 Pibo 头顶的“毛/绒”，长出一根 = 产生一 bo；取自 Pibo 的口头禅“啵”）。全表单位统一为 bo。</t>
        </is>
      </c>
    </row>
    <row r="10" ht="15.75" customHeight="1" s="45">
      <c r="A10" s="47" t="n"/>
    </row>
    <row r="11" ht="15.75" customHeight="1" s="45">
      <c r="A11" s="48" t="inlineStr">
        <is>
          <t>【怎么算 bo = 按数值, 不按天】每日各指标过“评分曲线”得 0–1 分 → 加权×100×恢复乘数 = 当日健康能量；</t>
        </is>
      </c>
    </row>
    <row r="12" ht="15.75" customHeight="1" s="45">
      <c r="A12" s="48" t="inlineStr">
        <is>
          <t>能量入池累计，每跨过“每个 bo 所需能量”阈值产生一 bo。于是均衡健康的一天可能长 1.5 个，平庸的一天要两天才攒一个。</t>
        </is>
      </c>
    </row>
    <row r="13" ht="15.75" customHeight="1" s="45">
      <c r="A13" s="47" t="n"/>
    </row>
    <row r="14" ht="15.75" customHeight="1" s="45">
      <c r="A14" s="48" t="inlineStr">
        <is>
          <t>【两条独立的轴（务必分清）】</t>
        </is>
      </c>
    </row>
    <row r="15" ht="15.75" customHeight="1" s="45">
      <c r="A15" s="47" t="inlineStr">
        <is>
          <t xml:space="preserve">  · 拔毛轴(收没收)：连续3天没拔 → 只有“头顶未拔的 bo（绒毛）”枯萎；不碰已入账 bo 余额、不碰已解锁道具。纯日活/收集机制。</t>
        </is>
      </c>
    </row>
    <row r="16" ht="15.75" customHeight="1" s="45">
      <c r="A16" s="47" t="inlineStr">
        <is>
          <t xml:space="preserve">  · 健康轴(过没过好)：身体没照顾好(数据差) → Pibo 信号变糊 → 潦草形态 + UI降级。世界观衰减弧，与拔不拔毛无关。</t>
        </is>
      </c>
    </row>
    <row r="17" ht="15.75" customHeight="1" s="45">
      <c r="A17" s="48" t="inlineStr">
        <is>
          <t xml:space="preserve">  两条互不干扰：勤拔毛但不健康=潦草但 bo 不枯；健康但懒得拔=清晰但 bo 枯。</t>
        </is>
      </c>
    </row>
    <row r="18" ht="15.75" customHeight="1" s="45">
      <c r="A18" s="48" t="inlineStr">
        <is>
          <t xml:space="preserve">  注：失锁/潦草态下 Dashboard 历史 UI 保持不变——历史是“已锁存的节律记录”，不随当前失锁损坏。</t>
        </is>
      </c>
    </row>
    <row r="19" ht="15.75" customHeight="1" s="45">
      <c r="A19" s="47" t="n"/>
    </row>
    <row r="20" ht="15.75" customHeight="1" s="45">
      <c r="A20" s="48" t="inlineStr">
        <is>
          <t>【页签】参数 / 评分曲线 / 每日能量 / 产出差异(#5) / 价目与TTU(#3) / 来源</t>
        </is>
      </c>
    </row>
    <row r="21" ht="15.75" customHeight="1" s="45">
      <c r="A21" s="48" t="inlineStr">
        <is>
          <t>【数字现状】曲线断点取自文献的“形状与拐点”，绝对取值为可调旋钮；锁定前按真实校准数据微调即可。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44" min="1" max="1"/>
    <col width="78" customWidth="1" style="44" min="2" max="2"/>
  </cols>
  <sheetData>
    <row r="1" ht="21.6" customHeight="1" s="45">
      <c r="A1" s="49" t="inlineStr">
        <is>
          <t>改动边界 · 哪些该锁 / 哪些边做边调</t>
        </is>
      </c>
    </row>
    <row r="2" ht="79.84999999999999" customHeight="1" s="45">
      <c r="A2" s="50" t="inlineStr">
        <is>
          <t>一句话：数值系统不该一开始就完全定死。结构先稳、参数边调——而且参数全部走远程配置，避开鸿蒙审核延迟。</t>
        </is>
      </c>
    </row>
    <row r="4" ht="15" customHeight="1" s="45">
      <c r="A4" s="51" t="inlineStr">
        <is>
          <t>🔒 结构层（先稳，不轻易改）</t>
        </is>
      </c>
      <c r="B4" s="51" t="inlineStr">
        <is>
          <t>为什么不能轻易改</t>
        </is>
      </c>
    </row>
    <row r="5" ht="32.8" customHeight="1" s="45">
      <c r="A5" s="52" t="inlineStr">
        <is>
          <t>货币身份：bo = 头顶绒毛，源自健康</t>
        </is>
      </c>
      <c r="B5" s="53" t="inlineStr">
        <is>
          <t>改了等于换产品语言，用户认知与所有文案/IP重来</t>
        </is>
      </c>
    </row>
    <row r="6" ht="32.8" customHeight="1" s="45">
      <c r="A6" s="52" t="inlineStr">
        <is>
          <t>守恒承诺：已得 bo 余额 + 已解锁道具 永不追溯回收</t>
        </is>
      </c>
      <c r="B6" s="53" t="inlineStr">
        <is>
          <t>这是对用户的承诺，破坏=背叛，再多补偿也救不回信任</t>
        </is>
      </c>
    </row>
    <row r="7" ht="48.5" customHeight="1" s="45">
      <c r="A7" s="52" t="inlineStr">
        <is>
          <t>两条轴模型：拔毛轴(收没收) / 健康轴(过没过好) 相互独立</t>
        </is>
      </c>
      <c r="B7" s="53" t="inlineStr">
        <is>
          <t>模型一改用户彻底糊涂，文案口径全乱</t>
        </is>
      </c>
    </row>
    <row r="8" ht="32.8" customHeight="1" s="45">
      <c r="A8" s="52" t="inlineStr">
        <is>
          <t>事件埋点 &amp; 存储 schema：Day1 起全量记录原始事件</t>
        </is>
      </c>
      <c r="B8" s="53" t="inlineStr">
        <is>
          <t>哪怕公式还没定，也必须先记 raw(步数/睡眠/bo产/bo花/解锁)，否则日后无法回溯重算/重平衡。这是最该“早定”的——不是数字，是仪表盘</t>
        </is>
      </c>
    </row>
    <row r="9" ht="48.5" customHeight="1" s="45">
      <c r="A9" s="52" t="inlineStr">
        <is>
          <t>曲线形状原理：睡眠最优U / 步数不惩罚 / 健康永不被罚</t>
        </is>
      </c>
      <c r="B9" s="53" t="inlineStr">
        <is>
          <t>有科学背书，方向性是契约；改方向=违背现实与世界观</t>
        </is>
      </c>
    </row>
    <row r="10" ht="48.5" customHeight="1" s="45">
      <c r="A10" s="52" t="inlineStr">
        <is>
          <t>防通胀架构：阈值累计(非每日固定发) + 存在每日封顶</t>
        </is>
      </c>
      <c r="B10" s="53" t="inlineStr">
        <is>
          <t>“有没有封顶”是结构；“封顶是多少”才是参数</t>
        </is>
      </c>
    </row>
    <row r="12" ht="15" customHeight="1" s="45">
      <c r="A12" s="51" t="inlineStr">
        <is>
          <t>🎛 参数层（边做边调，远程配置）</t>
        </is>
      </c>
      <c r="B12" s="51" t="inlineStr">
        <is>
          <t>调它安全，本就预期一开始是错的</t>
        </is>
      </c>
    </row>
    <row r="13" ht="32.8" customHeight="1" s="45">
      <c r="A13" s="54" t="inlineStr">
        <is>
          <t>每个 bo 所需能量 / 每日能量上限</t>
        </is>
      </c>
      <c r="B13" s="55" t="inlineStr">
        <is>
          <t>控总产出与防通胀强度</t>
        </is>
      </c>
    </row>
    <row r="14" ht="17.15" customHeight="1" s="45">
      <c r="A14" s="54" t="inlineStr">
        <is>
          <t>各评分曲线的断点取值</t>
        </is>
      </c>
      <c r="B14" s="55" t="inlineStr">
        <is>
          <t>真实用户分布出来后必然要重标定</t>
        </is>
      </c>
    </row>
    <row r="15" ht="17.15" customHeight="1" s="45">
      <c r="A15" s="54" t="inlineStr">
        <is>
          <t>道具单价 / TTU 阶梯</t>
        </is>
      </c>
      <c r="B15" s="55" t="inlineStr">
        <is>
          <t>控解锁节奏</t>
        </is>
      </c>
    </row>
    <row r="16" ht="32.8" customHeight="1" s="45">
      <c r="A16" s="54" t="inlineStr">
        <is>
          <t>数据源系数(有表/仅手机/纯App)、信号弱系数</t>
        </is>
      </c>
      <c r="B16" s="55" t="inlineStr">
        <is>
          <t>控无表用户体验</t>
        </is>
      </c>
    </row>
    <row r="17" ht="17.15" customHeight="1" s="45">
      <c r="A17" s="56" t="inlineStr">
        <is>
          <t>App行为能量、彩蛋掉率</t>
        </is>
      </c>
      <c r="B17" s="55" t="inlineStr">
        <is>
          <t>控主动行为产出与防刷</t>
        </is>
      </c>
    </row>
    <row r="18" ht="17.15" customHeight="1" s="45">
      <c r="A18" s="54" t="inlineStr">
        <is>
          <t>衰减时长(3天枯萎)</t>
        </is>
      </c>
      <c r="B18" s="55" t="inlineStr">
        <is>
          <t>可按留存数据微调</t>
        </is>
      </c>
    </row>
    <row r="20" ht="15" customHeight="1" s="45">
      <c r="A20" s="51" t="inlineStr">
        <is>
          <t>⚠ 单向规则</t>
        </is>
      </c>
      <c r="B20" s="51" t="inlineStr">
        <is>
          <t>参数可改，方向有讲究</t>
        </is>
      </c>
    </row>
    <row r="21" ht="32.8" customHeight="1" s="45">
      <c r="A21" s="57" t="inlineStr">
        <is>
          <t>只能轻松“变宽松”，慎重“变苛刻”</t>
        </is>
      </c>
      <c r="B21" s="58" t="inlineStr">
        <is>
          <t>涨价/砍产出/加快衰减 即使只是改个数字，用户也读成“被拿走”。前期宁可偏慷慨，留调整余地</t>
        </is>
      </c>
    </row>
    <row r="22" ht="17.15" customHeight="1" s="45">
      <c r="A22" s="57" t="inlineStr">
        <is>
          <t>变苛刻要配老用户保护</t>
        </is>
      </c>
      <c r="B22" s="58" t="inlineStr">
        <is>
          <t>必要时 grandfather 已有进度，别让既有用户被追溯惩罚</t>
        </is>
      </c>
    </row>
    <row r="23" ht="17.15" customHeight="1" s="45">
      <c r="A23" s="57" t="inlineStr">
        <is>
          <t>先松后紧，别先紧后松</t>
        </is>
      </c>
      <c r="B23" s="58" t="inlineStr">
        <is>
          <t>太抠门要“还给用户”很难；偏慷慨再温和收紧容易</t>
        </is>
      </c>
    </row>
    <row r="25" ht="17.15" customHeight="1" s="45">
      <c r="A25" s="51" t="inlineStr">
        <is>
          <t>观测什么来驱动调参</t>
        </is>
      </c>
      <c r="B25" s="59" t="inlineStr">
        <is>
          <t>(就是会上要定的埋点重点)</t>
        </is>
      </c>
    </row>
    <row r="26" ht="32.8" customHeight="1" s="45">
      <c r="A26" s="60" t="inlineStr">
        <is>
          <t>关键指标</t>
        </is>
      </c>
      <c r="B26" s="61" t="inlineStr">
        <is>
          <t>bo 日产分布 / bo 余额随时间(查通胀) / 实际TTU / 无表用户占比与产出 / 衰减触发率 / 道具解锁漏斗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44" min="1" max="1"/>
    <col width="14" customWidth="1" style="44" min="2" max="2"/>
    <col width="60" customWidth="1" style="44" min="3" max="3"/>
  </cols>
  <sheetData>
    <row r="1" ht="21" customHeight="1" s="45">
      <c r="A1" s="62" t="inlineStr">
        <is>
          <t>参数（蓝色=可调旋钮 / 远程配置镜像）</t>
        </is>
      </c>
    </row>
    <row r="3" ht="16.5" customHeight="1" s="45">
      <c r="A3" s="63" t="inlineStr">
        <is>
          <t>权重（合计应=1）</t>
        </is>
      </c>
      <c r="B3" s="64" t="inlineStr">
        <is>
          <t>值</t>
        </is>
      </c>
      <c r="C3" s="63" t="inlineStr">
        <is>
          <t>说明</t>
        </is>
      </c>
    </row>
    <row r="4" ht="16.5" customHeight="1" s="45">
      <c r="A4" s="65" t="inlineStr">
        <is>
          <t>睡眠权重</t>
        </is>
      </c>
      <c r="B4" s="66" t="n">
        <v>0.45</v>
      </c>
      <c r="C4" s="67" t="inlineStr">
        <is>
          <t>睡眠权重最高：睡好本身就能撑起“好的一天”，哪怕没运动</t>
        </is>
      </c>
    </row>
    <row r="5" ht="16.5" customHeight="1" s="45">
      <c r="A5" s="65" t="inlineStr">
        <is>
          <t>步数权重</t>
        </is>
      </c>
      <c r="B5" s="66" t="n">
        <v>0.3</v>
      </c>
      <c r="C5" s="67" t="inlineStr">
        <is>
          <t>日常活动量</t>
        </is>
      </c>
    </row>
    <row r="6" ht="16.5" customHeight="1" s="45">
      <c r="A6" s="65" t="inlineStr">
        <is>
          <t>运动权重</t>
        </is>
      </c>
      <c r="B6" s="66" t="n">
        <v>0.25</v>
      </c>
      <c r="C6" s="67" t="inlineStr">
        <is>
          <t>中高强度运动(MVPA)分钟</t>
        </is>
      </c>
    </row>
    <row r="7" ht="15" customHeight="1" s="45">
      <c r="A7" s="68" t="inlineStr">
        <is>
          <t>权重合计</t>
        </is>
      </c>
      <c r="B7" s="69">
        <f>SUM(B4:B6)</f>
        <v/>
      </c>
      <c r="C7" s="65" t="inlineStr">
        <is>
          <t>目标 = 1.00（校验）</t>
        </is>
      </c>
    </row>
    <row r="9" ht="15" customHeight="1" s="45">
      <c r="A9" s="63" t="inlineStr">
        <is>
          <t>能量与货币</t>
        </is>
      </c>
      <c r="B9" s="64" t="inlineStr">
        <is>
          <t>值</t>
        </is>
      </c>
      <c r="C9" s="63" t="inlineStr">
        <is>
          <t>说明</t>
        </is>
      </c>
    </row>
    <row r="10" ht="16.5" customHeight="1" s="45">
      <c r="A10" s="65" t="inlineStr">
        <is>
          <t>每个 bo 所需能量</t>
        </is>
      </c>
      <c r="B10" s="70" t="n">
        <v>75</v>
      </c>
      <c r="C10" s="67" t="inlineStr">
        <is>
          <t>能量池每跨过此阈值产生一 bo。调大=更稀缺(防通胀)</t>
        </is>
      </c>
    </row>
    <row r="11" ht="16.5" customHeight="1" s="45">
      <c r="A11" s="65" t="inlineStr">
        <is>
          <t>健康能量每日上限</t>
        </is>
      </c>
      <c r="B11" s="70" t="n">
        <v>110</v>
      </c>
      <c r="C11" s="67" t="inlineStr">
        <is>
          <t>封顶，防“暴走/超长睡”刷毛</t>
        </is>
      </c>
    </row>
    <row r="12" ht="32.25" customHeight="1" s="45">
      <c r="A12" s="71" t="inlineStr">
        <is>
          <t>App行为能量/日(投入用户)</t>
        </is>
      </c>
      <c r="B12" s="70" t="n">
        <v>10</v>
      </c>
      <c r="C12" s="67" t="inlineStr">
        <is>
          <t>拍照/小游戏/拍一拍彩蛋的期望日产(已封顶)；无健康数据用户的命脉</t>
        </is>
      </c>
    </row>
    <row r="14" ht="16.5" customHeight="1" s="45">
      <c r="A14" s="63" t="inlineStr">
        <is>
          <t>数据源系数(#5)</t>
        </is>
      </c>
      <c r="B14" s="64" t="inlineStr">
        <is>
          <t>值</t>
        </is>
      </c>
      <c r="C14" s="63" t="inlineStr">
        <is>
          <t>说明</t>
        </is>
      </c>
    </row>
    <row r="15" ht="16.5" customHeight="1" s="45">
      <c r="A15" s="65" t="inlineStr">
        <is>
          <t>有表/有健康数据</t>
        </is>
      </c>
      <c r="B15" s="66" t="n">
        <v>1</v>
      </c>
      <c r="C15" s="67" t="inlineStr">
        <is>
          <t>全模型(睡眠+步数+运动+HRV恢复)</t>
        </is>
      </c>
    </row>
    <row r="16" ht="16.5" customHeight="1" s="45">
      <c r="A16" s="65" t="inlineStr">
        <is>
          <t>仅手机(无表)</t>
        </is>
      </c>
      <c r="B16" s="66" t="n">
        <v>0.8</v>
      </c>
      <c r="C16" s="67" t="inlineStr">
        <is>
          <t>手机有计步；睡眠近似/手动；无HRV恢复加成 → 打折</t>
        </is>
      </c>
    </row>
    <row r="17" ht="16.5" customHeight="1" s="45">
      <c r="A17" s="65" t="inlineStr">
        <is>
          <t>纯App(自评)</t>
        </is>
      </c>
      <c r="B17" s="66" t="n">
        <v>0.55</v>
      </c>
      <c r="C17" s="67" t="inlineStr">
        <is>
          <t>无任何被动数据，靠App行为+自评滑杆；自评低可信，打折更狠</t>
        </is>
      </c>
    </row>
    <row r="18" ht="32.25" customHeight="1" s="45">
      <c r="A18" s="65" t="inlineStr">
        <is>
          <t>信号弱剧情系数(可选)</t>
        </is>
      </c>
      <c r="B18" s="66" t="n">
        <v>1</v>
      </c>
      <c r="C18" s="72" t="inlineStr">
        <is>
          <t>C方案：无数据时“信号弱,只能勉强收集”。设0.5即开启戏剧化减半，仅作用于纯App列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44" min="1" max="1"/>
    <col width="10" customWidth="1" style="44" min="2" max="2"/>
    <col width="4" customWidth="1" style="44" min="3" max="3"/>
    <col width="12" customWidth="1" style="44" min="4" max="4"/>
    <col width="10" customWidth="1" style="44" min="5" max="5"/>
    <col width="4" customWidth="1" style="44" min="6" max="6"/>
    <col width="22" customWidth="1" style="44" min="7" max="7"/>
    <col width="10" customWidth="1" style="44" min="8" max="8"/>
    <col width="4" customWidth="1" style="44" min="9" max="9"/>
    <col width="16" customWidth="1" style="44" min="10" max="10"/>
    <col width="10" customWidth="1" style="44" min="11" max="11"/>
    <col width="34" customWidth="1" style="44" min="12" max="12"/>
  </cols>
  <sheetData>
    <row r="1" ht="21" customHeight="1" s="45">
      <c r="A1" s="62" t="inlineStr">
        <is>
          <t>评分曲线（每个指标 → 0–1 分；断点取自文献，详见“来源”页）</t>
        </is>
      </c>
    </row>
    <row r="3" ht="16.5" customHeight="1" s="45">
      <c r="A3" s="64" t="inlineStr">
        <is>
          <t>睡眠(h)</t>
        </is>
      </c>
      <c r="B3" s="64" t="inlineStr">
        <is>
          <t>得分</t>
        </is>
      </c>
      <c r="D3" s="64" t="inlineStr">
        <is>
          <t>步数</t>
        </is>
      </c>
      <c r="E3" s="64" t="inlineStr">
        <is>
          <t>得分</t>
        </is>
      </c>
      <c r="G3" s="64" t="inlineStr">
        <is>
          <t>中高强度运动(min)</t>
        </is>
      </c>
      <c r="H3" s="64" t="inlineStr">
        <is>
          <t>得分</t>
        </is>
      </c>
      <c r="J3" s="64" t="inlineStr">
        <is>
          <t>恢复状态(0-4)</t>
        </is>
      </c>
      <c r="K3" s="64" t="inlineStr">
        <is>
          <t>乘数</t>
        </is>
      </c>
      <c r="L3" s="63" t="inlineStr">
        <is>
          <t>说明</t>
        </is>
      </c>
    </row>
    <row r="4" ht="29.25" customHeight="1" s="45">
      <c r="A4" s="73" t="n">
        <v>0</v>
      </c>
      <c r="B4" s="66" t="n">
        <v>0</v>
      </c>
      <c r="D4" s="74" t="n">
        <v>0</v>
      </c>
      <c r="E4" s="66" t="n">
        <v>0</v>
      </c>
      <c r="G4" s="70" t="n">
        <v>0</v>
      </c>
      <c r="H4" s="66" t="n">
        <v>0.2</v>
      </c>
      <c r="J4" s="70" t="n">
        <v>0</v>
      </c>
      <c r="K4" s="66" t="n">
        <v>0.85</v>
      </c>
      <c r="L4" s="67" t="inlineStr">
        <is>
          <t>过劳/未恢复(HRV明显低+静息HR升)</t>
        </is>
      </c>
    </row>
    <row r="5" ht="16.5" customHeight="1" s="45">
      <c r="A5" s="73" t="n">
        <v>3</v>
      </c>
      <c r="B5" s="66" t="n">
        <v>0.05</v>
      </c>
      <c r="D5" s="74" t="n">
        <v>1000</v>
      </c>
      <c r="E5" s="66" t="n">
        <v>0.12</v>
      </c>
      <c r="G5" s="70" t="n">
        <v>10</v>
      </c>
      <c r="H5" s="66" t="n">
        <v>0.45</v>
      </c>
      <c r="J5" s="70" t="n">
        <v>1</v>
      </c>
      <c r="K5" s="66" t="n">
        <v>0.92</v>
      </c>
      <c r="L5" s="67" t="inlineStr">
        <is>
          <t>轻度疲劳</t>
        </is>
      </c>
    </row>
    <row r="6" ht="16.5" customHeight="1" s="45">
      <c r="A6" s="73" t="n">
        <v>4</v>
      </c>
      <c r="B6" s="66" t="n">
        <v>0.14</v>
      </c>
      <c r="D6" s="74" t="n">
        <v>2000</v>
      </c>
      <c r="E6" s="66" t="n">
        <v>0.25</v>
      </c>
      <c r="G6" s="70" t="n">
        <v>15</v>
      </c>
      <c r="H6" s="66" t="n">
        <v>0.6</v>
      </c>
      <c r="J6" s="70" t="n">
        <v>2</v>
      </c>
      <c r="K6" s="66" t="n">
        <v>1</v>
      </c>
      <c r="L6" s="67" t="inlineStr">
        <is>
          <t>正常 / 无数据</t>
        </is>
      </c>
    </row>
    <row r="7" ht="16.5" customHeight="1" s="45">
      <c r="A7" s="73" t="n">
        <v>5</v>
      </c>
      <c r="B7" s="66" t="n">
        <v>0.32</v>
      </c>
      <c r="D7" s="74" t="n">
        <v>3000</v>
      </c>
      <c r="E7" s="66" t="n">
        <v>0.38</v>
      </c>
      <c r="G7" s="70" t="n">
        <v>20</v>
      </c>
      <c r="H7" s="66" t="n">
        <v>0.75</v>
      </c>
      <c r="J7" s="70" t="n">
        <v>3</v>
      </c>
      <c r="K7" s="66" t="n">
        <v>1.05</v>
      </c>
      <c r="L7" s="67" t="inlineStr">
        <is>
          <t>恢复较好</t>
        </is>
      </c>
    </row>
    <row r="8" ht="16.5" customHeight="1" s="45">
      <c r="A8" s="73" t="n">
        <v>5.5</v>
      </c>
      <c r="B8" s="66" t="n">
        <v>0.46</v>
      </c>
      <c r="D8" s="74" t="n">
        <v>4000</v>
      </c>
      <c r="E8" s="66" t="n">
        <v>0.52</v>
      </c>
      <c r="G8" s="70" t="n">
        <v>30</v>
      </c>
      <c r="H8" s="66" t="n">
        <v>0.92</v>
      </c>
      <c r="J8" s="70" t="n">
        <v>4</v>
      </c>
      <c r="K8" s="66" t="n">
        <v>1.1</v>
      </c>
      <c r="L8" s="67" t="inlineStr">
        <is>
          <t>恢复很好(HRV≥个人基线)</t>
        </is>
      </c>
    </row>
    <row r="9" ht="15" customHeight="1" s="45">
      <c r="A9" s="73" t="n">
        <v>6</v>
      </c>
      <c r="B9" s="66" t="n">
        <v>0.62</v>
      </c>
      <c r="D9" s="74" t="n">
        <v>5000</v>
      </c>
      <c r="E9" s="66" t="n">
        <v>0.64</v>
      </c>
      <c r="G9" s="70" t="n">
        <v>45</v>
      </c>
      <c r="H9" s="66" t="n">
        <v>1</v>
      </c>
    </row>
    <row r="10" ht="15" customHeight="1" s="45">
      <c r="A10" s="73" t="n">
        <v>6.5</v>
      </c>
      <c r="B10" s="66" t="n">
        <v>0.8</v>
      </c>
      <c r="D10" s="74" t="n">
        <v>6000</v>
      </c>
      <c r="E10" s="66" t="n">
        <v>0.75</v>
      </c>
      <c r="G10" s="70" t="n">
        <v>60</v>
      </c>
      <c r="H10" s="66" t="n">
        <v>1</v>
      </c>
    </row>
    <row r="11" ht="15" customHeight="1" s="45">
      <c r="A11" s="73" t="n">
        <v>7</v>
      </c>
      <c r="B11" s="66" t="n">
        <v>0.93</v>
      </c>
      <c r="D11" s="74" t="n">
        <v>7000</v>
      </c>
      <c r="E11" s="66" t="n">
        <v>0.85</v>
      </c>
      <c r="G11" s="70" t="n">
        <v>75</v>
      </c>
      <c r="H11" s="66" t="n">
        <v>0.98</v>
      </c>
    </row>
    <row r="12" ht="15" customHeight="1" s="45">
      <c r="A12" s="73" t="n">
        <v>7.5</v>
      </c>
      <c r="B12" s="66" t="n">
        <v>1</v>
      </c>
      <c r="D12" s="74" t="n">
        <v>8000</v>
      </c>
      <c r="E12" s="66" t="n">
        <v>0.93</v>
      </c>
      <c r="G12" s="70" t="n">
        <v>90</v>
      </c>
      <c r="H12" s="66" t="n">
        <v>0.95</v>
      </c>
    </row>
    <row r="13" ht="15" customHeight="1" s="45">
      <c r="A13" s="73" t="n">
        <v>8</v>
      </c>
      <c r="B13" s="66" t="n">
        <v>1</v>
      </c>
      <c r="D13" s="74" t="n">
        <v>9000</v>
      </c>
      <c r="E13" s="66" t="n">
        <v>0.97</v>
      </c>
      <c r="G13" s="70" t="n">
        <v>120</v>
      </c>
      <c r="H13" s="66" t="n">
        <v>0.88</v>
      </c>
    </row>
    <row r="14" ht="15" customHeight="1" s="45">
      <c r="A14" s="73" t="n">
        <v>8.5</v>
      </c>
      <c r="B14" s="66" t="n">
        <v>0.82</v>
      </c>
      <c r="D14" s="74" t="n">
        <v>10000</v>
      </c>
      <c r="E14" s="66" t="n">
        <v>1</v>
      </c>
      <c r="G14" s="70" t="n">
        <v>150</v>
      </c>
      <c r="H14" s="66" t="n">
        <v>0.8</v>
      </c>
    </row>
    <row r="15" ht="15" customHeight="1" s="45">
      <c r="A15" s="73" t="n">
        <v>9</v>
      </c>
      <c r="B15" s="66" t="n">
        <v>0.6</v>
      </c>
      <c r="D15" s="74" t="n">
        <v>12000</v>
      </c>
      <c r="E15" s="66" t="n">
        <v>1</v>
      </c>
      <c r="G15" s="70" t="n">
        <v>180</v>
      </c>
      <c r="H15" s="66" t="n">
        <v>0.7</v>
      </c>
    </row>
    <row r="16" ht="15" customHeight="1" s="45">
      <c r="A16" s="73" t="n">
        <v>9.5</v>
      </c>
      <c r="B16" s="66" t="n">
        <v>0.42</v>
      </c>
      <c r="D16" s="74" t="n">
        <v>15000</v>
      </c>
      <c r="E16" s="66" t="n">
        <v>1</v>
      </c>
      <c r="G16" s="70" t="n">
        <v>240</v>
      </c>
      <c r="H16" s="66" t="n">
        <v>0.55</v>
      </c>
    </row>
    <row r="17" ht="15" customHeight="1" s="45">
      <c r="A17" s="73" t="n">
        <v>10</v>
      </c>
      <c r="B17" s="66" t="n">
        <v>0.28</v>
      </c>
      <c r="D17" s="74" t="n">
        <v>20000</v>
      </c>
      <c r="E17" s="66" t="n">
        <v>1</v>
      </c>
    </row>
    <row r="18" ht="15" customHeight="1" s="45">
      <c r="A18" s="73" t="n">
        <v>11</v>
      </c>
      <c r="B18" s="66" t="n">
        <v>0.12</v>
      </c>
    </row>
    <row r="19" ht="15" customHeight="1" s="45">
      <c r="A19" s="73" t="n">
        <v>13</v>
      </c>
      <c r="B19" s="66" t="n">
        <v>0.05</v>
      </c>
    </row>
    <row r="21" ht="16.5" customHeight="1" s="45">
      <c r="A21" s="75" t="inlineStr">
        <is>
          <t>说明：睡眠为非对称钟形(峰7–8h, 长睡比短睡罚更狠)；步数为饱和曲线(~8–10k封顶, 无惩罚)；</t>
        </is>
      </c>
    </row>
    <row r="22" ht="16.5" customHeight="1" s="45">
      <c r="A22" s="75" t="inlineStr">
        <is>
          <t>运动为倒U(最优~30–60min/日, 过量软回落=恢复成本/平衡, 非死亡率硬结论)；恢复乘数由HRV/静息心率判定。</t>
        </is>
      </c>
    </row>
    <row r="23" ht="16.5" customHeight="1" s="45">
      <c r="A23" s="76" t="inlineStr">
        <is>
          <t>查表为分段(就近向下取断点)；要更平滑可加密断点。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44" min="1" max="1"/>
    <col width="9" customWidth="1" style="44" min="2" max="3"/>
    <col width="10" customWidth="1" style="44" min="4" max="4"/>
    <col width="12" customWidth="1" style="44" min="5" max="5"/>
    <col width="9" customWidth="1" style="44" min="6" max="8"/>
    <col width="10" customWidth="1" style="44" min="9" max="9"/>
    <col width="11" customWidth="1" style="44" min="10" max="10"/>
    <col width="10" customWidth="1" style="44" min="11" max="11"/>
    <col width="12" customWidth="1" style="44" min="12" max="12"/>
    <col width="11" customWidth="1" style="44" min="13" max="13"/>
  </cols>
  <sheetData>
    <row r="1" ht="21" customHeight="1" s="45">
      <c r="A1" s="62" t="inlineStr">
        <is>
          <t>每日能量（示例3档；蓝色=输入, 绿色=跨页公式）</t>
        </is>
      </c>
    </row>
    <row r="3" ht="16.5" customHeight="1" s="45">
      <c r="A3" s="64" t="inlineStr">
        <is>
          <t>用户档案</t>
        </is>
      </c>
      <c r="B3" s="64" t="inlineStr">
        <is>
          <t>睡眠h</t>
        </is>
      </c>
      <c r="C3" s="64" t="inlineStr">
        <is>
          <t>步数</t>
        </is>
      </c>
      <c r="D3" s="64" t="inlineStr">
        <is>
          <t>运动min</t>
        </is>
      </c>
      <c r="E3" s="64" t="inlineStr">
        <is>
          <t>恢复(0-4)</t>
        </is>
      </c>
      <c r="F3" s="64" t="inlineStr">
        <is>
          <t>睡眠分</t>
        </is>
      </c>
      <c r="G3" s="64" t="inlineStr">
        <is>
          <t>步数分</t>
        </is>
      </c>
      <c r="H3" s="64" t="inlineStr">
        <is>
          <t>运动分</t>
        </is>
      </c>
      <c r="I3" s="64" t="inlineStr">
        <is>
          <t>恢复乘数</t>
        </is>
      </c>
      <c r="J3" s="64" t="inlineStr">
        <is>
          <t>健康能量</t>
        </is>
      </c>
      <c r="K3" s="59" t="inlineStr">
        <is>
          <t>App能量</t>
        </is>
      </c>
      <c r="L3" s="64" t="inlineStr">
        <is>
          <t>当日总能量</t>
        </is>
      </c>
      <c r="M3" s="64" t="inlineStr">
        <is>
          <t>当日≈bo</t>
        </is>
      </c>
    </row>
    <row r="4" ht="15" customHeight="1" s="45">
      <c r="A4" s="77" t="inlineStr">
        <is>
          <t>健康均衡</t>
        </is>
      </c>
      <c r="B4" s="73" t="n">
        <v>7.5</v>
      </c>
      <c r="C4" s="74" t="n">
        <v>9000</v>
      </c>
      <c r="D4" s="70" t="n">
        <v>40</v>
      </c>
      <c r="E4" s="70" t="n">
        <v>3</v>
      </c>
      <c r="F4" s="78">
        <f>LOOKUP(B4,评分曲线!$A$4:$A$19,评分曲线!$B$4:$B$19)</f>
        <v/>
      </c>
      <c r="G4" s="78">
        <f>LOOKUP(C4,评分曲线!$D$4:$D$17,评分曲线!$E$4:$E$17)</f>
        <v/>
      </c>
      <c r="H4" s="78">
        <f>LOOKUP(D4,评分曲线!$G$4:$G$16,评分曲线!$H$4:$H$16)</f>
        <v/>
      </c>
      <c r="I4" s="78">
        <f>LOOKUP(E4,评分曲线!$J$4:$J$8,评分曲线!$K$4:$K$8)</f>
        <v/>
      </c>
      <c r="J4" s="79">
        <f>MIN(参数!$B$11,(F4*参数!$B$4+G4*参数!$B$5+H4*参数!$B$6)*100*I4)</f>
        <v/>
      </c>
      <c r="K4" s="79">
        <f>参数!$B$12</f>
        <v/>
      </c>
      <c r="L4" s="80">
        <f>J4+K4</f>
        <v/>
      </c>
      <c r="M4" s="78">
        <f>L4/参数!$B$10</f>
        <v/>
      </c>
    </row>
    <row r="5" ht="15" customHeight="1" s="45">
      <c r="A5" s="77" t="inlineStr">
        <is>
          <t>普通</t>
        </is>
      </c>
      <c r="B5" s="73" t="n">
        <v>6.5</v>
      </c>
      <c r="C5" s="74" t="n">
        <v>5000</v>
      </c>
      <c r="D5" s="70" t="n">
        <v>15</v>
      </c>
      <c r="E5" s="70" t="n">
        <v>2</v>
      </c>
      <c r="F5" s="78">
        <f>LOOKUP(B5,评分曲线!$A$4:$A$19,评分曲线!$B$4:$B$19)</f>
        <v/>
      </c>
      <c r="G5" s="78">
        <f>LOOKUP(C5,评分曲线!$D$4:$D$17,评分曲线!$E$4:$E$17)</f>
        <v/>
      </c>
      <c r="H5" s="78">
        <f>LOOKUP(D5,评分曲线!$G$4:$G$16,评分曲线!$H$4:$H$16)</f>
        <v/>
      </c>
      <c r="I5" s="78">
        <f>LOOKUP(E5,评分曲线!$J$4:$J$8,评分曲线!$K$4:$K$8)</f>
        <v/>
      </c>
      <c r="J5" s="79">
        <f>MIN(参数!$B$11,(F5*参数!$B$4+G5*参数!$B$5+H5*参数!$B$6)*100*I5)</f>
        <v/>
      </c>
      <c r="K5" s="79">
        <f>参数!$B$12</f>
        <v/>
      </c>
      <c r="L5" s="80">
        <f>J5+K5</f>
        <v/>
      </c>
      <c r="M5" s="78">
        <f>L5/参数!$B$10</f>
        <v/>
      </c>
    </row>
    <row r="6" ht="15" customHeight="1" s="45">
      <c r="A6" s="77" t="inlineStr">
        <is>
          <t>久坐</t>
        </is>
      </c>
      <c r="B6" s="73" t="n">
        <v>5.5</v>
      </c>
      <c r="C6" s="74" t="n">
        <v>2500</v>
      </c>
      <c r="D6" s="70" t="n">
        <v>0</v>
      </c>
      <c r="E6" s="70" t="n">
        <v>1</v>
      </c>
      <c r="F6" s="78">
        <f>LOOKUP(B6,评分曲线!$A$4:$A$19,评分曲线!$B$4:$B$19)</f>
        <v/>
      </c>
      <c r="G6" s="78">
        <f>LOOKUP(C6,评分曲线!$D$4:$D$17,评分曲线!$E$4:$E$17)</f>
        <v/>
      </c>
      <c r="H6" s="78">
        <f>LOOKUP(D6,评分曲线!$G$4:$G$16,评分曲线!$H$4:$H$16)</f>
        <v/>
      </c>
      <c r="I6" s="78">
        <f>LOOKUP(E6,评分曲线!$J$4:$J$8,评分曲线!$K$4:$K$8)</f>
        <v/>
      </c>
      <c r="J6" s="79">
        <f>MIN(参数!$B$11,(F6*参数!$B$4+G6*参数!$B$5+H6*参数!$B$6)*100*I6)</f>
        <v/>
      </c>
      <c r="K6" s="79">
        <f>参数!$B$12</f>
        <v/>
      </c>
      <c r="L6" s="80">
        <f>J6+K6</f>
        <v/>
      </c>
      <c r="M6" s="78">
        <f>L6/参数!$B$10</f>
        <v/>
      </c>
    </row>
    <row r="8" ht="16.5" customHeight="1" s="45">
      <c r="A8" s="75" t="inlineStr">
        <is>
          <t>健康能量 = MIN(上限, (睡眠分×w睡+步数分×w步+运动分×w运)×100×恢复乘数)。可改输入即时看变化。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44" min="1" max="4"/>
    <col width="40" customWidth="1" style="44" min="5" max="5"/>
  </cols>
  <sheetData>
    <row r="1" ht="21" customHeight="1" s="45">
      <c r="A1" s="62" t="inlineStr">
        <is>
          <t>产出差异 · 有表 / 无表（bo 每周）</t>
        </is>
      </c>
    </row>
    <row r="3" ht="16.5" customHeight="1" s="45">
      <c r="A3" s="64" t="inlineStr">
        <is>
          <t>用户档案</t>
        </is>
      </c>
      <c r="B3" s="64" t="inlineStr">
        <is>
          <t>有表(bo/周)</t>
        </is>
      </c>
      <c r="C3" s="64" t="inlineStr">
        <is>
          <t>仅手机(bo/周)</t>
        </is>
      </c>
      <c r="D3" s="64" t="inlineStr">
        <is>
          <t>纯App(bo/周)</t>
        </is>
      </c>
    </row>
    <row r="4" ht="15" customHeight="1" s="45">
      <c r="A4" s="81">
        <f>每日能量!A4</f>
        <v/>
      </c>
      <c r="B4" s="82">
        <f>((每日能量!J4*参数!$B$15+每日能量!K4)*7)/参数!$B$10</f>
        <v/>
      </c>
      <c r="C4" s="82">
        <f>((每日能量!J4*参数!$B$16+每日能量!K4)*7)/参数!$B$10</f>
        <v/>
      </c>
      <c r="D4" s="82">
        <f>((每日能量!J4*参数!$B$17+每日能量!K4)*参数!$B$18*7)/参数!$B$10</f>
        <v/>
      </c>
    </row>
    <row r="5" ht="15" customHeight="1" s="45">
      <c r="A5" s="81">
        <f>每日能量!A5</f>
        <v/>
      </c>
      <c r="B5" s="82">
        <f>((每日能量!J5*参数!$B$15+每日能量!K5)*7)/参数!$B$10</f>
        <v/>
      </c>
      <c r="C5" s="82">
        <f>((每日能量!J5*参数!$B$16+每日能量!K5)*7)/参数!$B$10</f>
        <v/>
      </c>
      <c r="D5" s="82">
        <f>((每日能量!J5*参数!$B$17+每日能量!K5)*参数!$B$18*7)/参数!$B$10</f>
        <v/>
      </c>
    </row>
    <row r="6" ht="15" customHeight="1" s="45">
      <c r="A6" s="81">
        <f>每日能量!A6</f>
        <v/>
      </c>
      <c r="B6" s="82">
        <f>((每日能量!J6*参数!$B$15+每日能量!K6)*7)/参数!$B$10</f>
        <v/>
      </c>
      <c r="C6" s="82">
        <f>((每日能量!J6*参数!$B$16+每日能量!K6)*7)/参数!$B$10</f>
        <v/>
      </c>
      <c r="D6" s="82">
        <f>((每日能量!J6*参数!$B$17+每日能量!K6)*参数!$B$18*7)/参数!$B$10</f>
        <v/>
      </c>
    </row>
    <row r="8" ht="16.5" customHeight="1" s="45">
      <c r="A8" s="75" t="inlineStr">
        <is>
          <t>读法：同一个人，没表只是产出打折(仍能玩、仍能赚)，而不是被锁死。</t>
        </is>
      </c>
    </row>
    <row r="9" ht="16.5" customHeight="1" s="45">
      <c r="A9" s="75" t="inlineStr">
        <is>
          <t>建议组合：A手机兜底 + C剧情化降级 打底, B行为补充, 不上硬门槛(见“说明/对话”)。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44" min="1" max="1"/>
    <col width="12" customWidth="1" style="44" min="2" max="3"/>
    <col width="16" customWidth="1" style="44" min="4" max="6"/>
  </cols>
  <sheetData>
    <row r="1" ht="21" customHeight="1" s="45">
      <c r="A1" s="62" t="inlineStr">
        <is>
          <t>道具价目 &amp; 全解锁天数(TTU) · 线性解锁(MVP)</t>
        </is>
      </c>
    </row>
    <row r="3" ht="16.5" customHeight="1" s="45">
      <c r="A3" s="64" t="inlineStr">
        <is>
          <t>道具</t>
        </is>
      </c>
      <c r="B3" s="64" t="inlineStr">
        <is>
          <t>单价(bo)</t>
        </is>
      </c>
      <c r="C3" s="64" t="inlineStr">
        <is>
          <t>累计(bo)</t>
        </is>
      </c>
      <c r="D3" s="64" t="inlineStr">
        <is>
          <t>健康用户(周)</t>
        </is>
      </c>
      <c r="E3" s="64" t="inlineStr">
        <is>
          <t>普通用户(周)</t>
        </is>
      </c>
      <c r="F3" s="64" t="inlineStr">
        <is>
          <t>久坐用户(周)</t>
        </is>
      </c>
    </row>
    <row r="4" ht="16.5" customHeight="1" s="45">
      <c r="A4" s="65" t="inlineStr">
        <is>
          <t>道具1·灯</t>
        </is>
      </c>
      <c r="B4" s="70" t="n">
        <v>2</v>
      </c>
      <c r="C4" s="80">
        <f>B4</f>
        <v/>
      </c>
      <c r="D4" s="82">
        <f>IFERROR(C4/产出差异!$B$4,"-")</f>
        <v/>
      </c>
      <c r="E4" s="82">
        <f>IFERROR(C4/产出差异!$B$5,"-")</f>
        <v/>
      </c>
      <c r="F4" s="82">
        <f>IFERROR(C4/产出差异!$B$6,"-")</f>
        <v/>
      </c>
    </row>
    <row r="5" ht="16.5" customHeight="1" s="45">
      <c r="A5" s="65" t="inlineStr">
        <is>
          <t>道具2·桌子</t>
        </is>
      </c>
      <c r="B5" s="70" t="n">
        <v>4</v>
      </c>
      <c r="C5" s="80">
        <f>C4+B5</f>
        <v/>
      </c>
      <c r="D5" s="82">
        <f>IFERROR(C5/产出差异!$B$4,"-")</f>
        <v/>
      </c>
      <c r="E5" s="82">
        <f>IFERROR(C5/产出差异!$B$5,"-")</f>
        <v/>
      </c>
      <c r="F5" s="82">
        <f>IFERROR(C5/产出差异!$B$6,"-")</f>
        <v/>
      </c>
    </row>
    <row r="6" ht="16.5" customHeight="1" s="45">
      <c r="A6" s="65" t="inlineStr">
        <is>
          <t>道具3·地毯</t>
        </is>
      </c>
      <c r="B6" s="70" t="n">
        <v>5</v>
      </c>
      <c r="C6" s="80">
        <f>C5+B6</f>
        <v/>
      </c>
      <c r="D6" s="82">
        <f>IFERROR(C6/产出差异!$B$4,"-")</f>
        <v/>
      </c>
      <c r="E6" s="82">
        <f>IFERROR(C6/产出差异!$B$5,"-")</f>
        <v/>
      </c>
      <c r="F6" s="82">
        <f>IFERROR(C6/产出差异!$B$6,"-")</f>
        <v/>
      </c>
    </row>
    <row r="7" ht="16.5" customHeight="1" s="45">
      <c r="A7" s="65" t="inlineStr">
        <is>
          <t>道具4·窗</t>
        </is>
      </c>
      <c r="B7" s="70" t="n">
        <v>5</v>
      </c>
      <c r="C7" s="80">
        <f>C6+B7</f>
        <v/>
      </c>
      <c r="D7" s="82">
        <f>IFERROR(C7/产出差异!$B$4,"-")</f>
        <v/>
      </c>
      <c r="E7" s="82">
        <f>IFERROR(C7/产出差异!$B$5,"-")</f>
        <v/>
      </c>
      <c r="F7" s="82">
        <f>IFERROR(C7/产出差异!$B$6,"-")</f>
        <v/>
      </c>
    </row>
    <row r="8" ht="16.5" customHeight="1" s="45">
      <c r="A8" s="65" t="inlineStr">
        <is>
          <t>道具5·画</t>
        </is>
      </c>
      <c r="B8" s="70" t="n">
        <v>6</v>
      </c>
      <c r="C8" s="80">
        <f>C7+B8</f>
        <v/>
      </c>
      <c r="D8" s="82">
        <f>IFERROR(C8/产出差异!$B$4,"-")</f>
        <v/>
      </c>
      <c r="E8" s="82">
        <f>IFERROR(C8/产出差异!$B$5,"-")</f>
        <v/>
      </c>
      <c r="F8" s="82">
        <f>IFERROR(C8/产出差异!$B$6,"-")</f>
        <v/>
      </c>
    </row>
    <row r="9" ht="15" customHeight="1" s="45">
      <c r="A9" s="83" t="inlineStr">
        <is>
          <t>全部解锁</t>
        </is>
      </c>
      <c r="B9" s="84">
        <f>SUM(B4:B8)</f>
        <v/>
      </c>
      <c r="C9" s="84">
        <f>C8</f>
        <v/>
      </c>
      <c r="D9" s="85">
        <f>IFERROR(C8/产出差异!$B$4,"-")</f>
        <v/>
      </c>
      <c r="E9" s="85">
        <f>IFERROR(C8/产出差异!$B$5,"-")</f>
        <v/>
      </c>
      <c r="F9" s="85">
        <f>IFERROR(C8/产出差异!$B$6,"-")</f>
        <v/>
      </c>
    </row>
    <row r="11" ht="16.5" customHeight="1" s="45">
      <c r="A11" s="75" t="inlineStr">
        <is>
          <t>调价目标：首件第1–2天(尝甜头)，健康用户~2周全解锁。改单价或“参数”即时重算。</t>
        </is>
      </c>
    </row>
    <row r="12" ht="16.5" customHeight="1" s="45">
      <c r="A12" s="75" t="inlineStr">
        <is>
          <t>后期商店化：单价改目录配置即可(货币不变)；须加轮换/消耗型sink，避免解锁完后 bo 失去意义。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24" customWidth="1" style="45" min="1" max="1"/>
    <col width="18" customWidth="1" style="45" min="2" max="2"/>
    <col width="12" customWidth="1" style="45" min="3" max="3"/>
    <col width="14" customWidth="1" style="45" min="4" max="4"/>
    <col width="12" customWidth="1" style="45" min="5" max="5"/>
    <col width="12" customWidth="1" style="45" min="6" max="6"/>
    <col width="10" customWidth="1" style="45" min="7" max="7"/>
    <col width="12" customWidth="1" style="45" min="8" max="8"/>
    <col width="12" customWidth="1" style="45" min="9" max="9"/>
    <col width="14" customWidth="1" style="45" min="10" max="10"/>
  </cols>
  <sheetData>
    <row r="1">
      <c r="A1" s="86" t="inlineStr">
        <is>
          <t>节律奖励 · 规律的量化（问题2）</t>
        </is>
      </c>
    </row>
    <row r="2">
      <c r="A2" s="87" t="inlineStr">
        <is>
          <t>原则：奖励“跨天一致性”，不奖单日猛；只加分不扣分（不规律=拿不到bonus，倍率永不&lt;1）；宽容（滚动14天窗+缓慢滚出，无连击清零）。</t>
        </is>
      </c>
    </row>
    <row r="4">
      <c r="A4" s="88" t="inlineStr">
        <is>
          <t>参数（蓝=可调）</t>
        </is>
      </c>
      <c r="B4" s="89" t="inlineStr">
        <is>
          <t>值</t>
        </is>
      </c>
      <c r="C4" s="88" t="inlineStr">
        <is>
          <t>说明</t>
        </is>
      </c>
    </row>
    <row r="5">
      <c r="A5" s="90" t="inlineStr">
        <is>
          <t>滚动窗口(天)</t>
        </is>
      </c>
      <c r="B5" s="91" t="n">
        <v>14</v>
      </c>
      <c r="C5" s="90" t="inlineStr">
        <is>
          <t>越长越宽容、越奖励持续规律</t>
        </is>
      </c>
    </row>
    <row r="6">
      <c r="A6" s="90" t="inlineStr">
        <is>
          <t>睡眠节律权重</t>
        </is>
      </c>
      <c r="B6" s="92" t="n">
        <v>0.45</v>
      </c>
      <c r="C6" s="90" t="inlineStr">
        <is>
          <t>文献:睡眠规律性&gt;时长</t>
        </is>
      </c>
    </row>
    <row r="7">
      <c r="A7" s="90" t="inlineStr">
        <is>
          <t>活动节律权重</t>
        </is>
      </c>
      <c r="B7" s="92" t="n">
        <v>0.3</v>
      </c>
      <c r="C7" s="90" t="inlineStr"/>
    </row>
    <row r="8">
      <c r="A8" s="90" t="inlineStr">
        <is>
          <t>出勤权重</t>
        </is>
      </c>
      <c r="B8" s="92" t="n">
        <v>0.25</v>
      </c>
      <c r="C8" s="90" t="inlineStr"/>
    </row>
    <row r="9">
      <c r="A9" s="90" t="inlineStr">
        <is>
          <t>睡眠中点SD-优(min)</t>
        </is>
      </c>
      <c r="B9" s="91" t="n">
        <v>30</v>
      </c>
      <c r="C9" s="90" t="inlineStr">
        <is>
          <t>≤此值=满分</t>
        </is>
      </c>
    </row>
    <row r="10">
      <c r="A10" s="90" t="inlineStr">
        <is>
          <t>睡眠中点SD-差(min)</t>
        </is>
      </c>
      <c r="B10" s="91" t="n">
        <v>120</v>
      </c>
      <c r="C10" s="90" t="inlineStr">
        <is>
          <t>≥此值=0分</t>
        </is>
      </c>
    </row>
    <row r="11">
      <c r="A11" s="90" t="inlineStr">
        <is>
          <t>步数CV-优</t>
        </is>
      </c>
      <c r="B11" s="92" t="n">
        <v>0.25</v>
      </c>
      <c r="C11" s="90" t="inlineStr">
        <is>
          <t>≤此值=满分</t>
        </is>
      </c>
    </row>
    <row r="12">
      <c r="A12" s="90" t="inlineStr">
        <is>
          <t>步数CV-差</t>
        </is>
      </c>
      <c r="B12" s="92" t="n">
        <v>0.75</v>
      </c>
      <c r="C12" s="90" t="inlineStr">
        <is>
          <t>≥此值=0分</t>
        </is>
      </c>
    </row>
    <row r="13">
      <c r="A13" s="90" t="inlineStr">
        <is>
          <t>出勤达标·日能量门槛</t>
        </is>
      </c>
      <c r="B13" s="91" t="n">
        <v>40</v>
      </c>
      <c r="C13" s="90" t="inlineStr">
        <is>
          <t>当日健康能量≥此值算达标</t>
        </is>
      </c>
    </row>
    <row r="14">
      <c r="A14" s="90" t="inlineStr">
        <is>
          <t>bo日倍率·上限加成</t>
        </is>
      </c>
      <c r="B14" s="92" t="n">
        <v>0.5</v>
      </c>
      <c r="C14" s="90" t="inlineStr">
        <is>
          <t>倍率=1.00~1.50</t>
        </is>
      </c>
    </row>
    <row r="15">
      <c r="A15" s="90" t="inlineStr">
        <is>
          <t>每周节律奖励上限(bo)</t>
        </is>
      </c>
      <c r="B15" s="91" t="n">
        <v>8</v>
      </c>
      <c r="C15" s="90" t="inlineStr">
        <is>
          <t>周报发放</t>
        </is>
      </c>
    </row>
    <row r="16">
      <c r="A16" s="93" t="inlineStr">
        <is>
          <t>权重合计校验</t>
        </is>
      </c>
      <c r="B16" s="94">
        <f>B6+B7+B8</f>
        <v/>
      </c>
      <c r="C16" s="95" t="inlineStr">
        <is>
          <t>应=1.00</t>
        </is>
      </c>
    </row>
    <row r="18">
      <c r="A18" s="89" t="inlineStr">
        <is>
          <t>用户档案</t>
        </is>
      </c>
      <c r="B18" s="89" t="inlineStr">
        <is>
          <t>睡眠中点SD(min)</t>
        </is>
      </c>
      <c r="C18" s="89" t="inlineStr">
        <is>
          <t>步数CV</t>
        </is>
      </c>
      <c r="D18" s="89" t="inlineStr">
        <is>
          <t>窗内达标天</t>
        </is>
      </c>
      <c r="E18" s="89" t="inlineStr">
        <is>
          <t>睡眠节律R</t>
        </is>
      </c>
      <c r="F18" s="89" t="inlineStr">
        <is>
          <t>活动节律R</t>
        </is>
      </c>
      <c r="G18" s="89" t="inlineStr">
        <is>
          <t>出勤R</t>
        </is>
      </c>
      <c r="H18" s="89" t="inlineStr">
        <is>
          <t>节律分(0-100)</t>
        </is>
      </c>
      <c r="I18" s="89" t="inlineStr">
        <is>
          <t>bo日倍率</t>
        </is>
      </c>
      <c r="J18" s="89" t="inlineStr">
        <is>
          <t>每周奖励(bo)</t>
        </is>
      </c>
    </row>
    <row r="19">
      <c r="A19" s="96" t="inlineStr">
        <is>
          <t>规律健康者</t>
        </is>
      </c>
      <c r="B19" s="91" t="n">
        <v>25</v>
      </c>
      <c r="C19" s="92" t="n">
        <v>0.2</v>
      </c>
      <c r="D19" s="91" t="n">
        <v>13</v>
      </c>
      <c r="E19" s="97">
        <f>MAX(0,MIN(1,($B$10-B19)/($B$10-$B$9)))</f>
        <v/>
      </c>
      <c r="F19" s="97">
        <f>MAX(0,MIN(1,($B$12-C19)/($B$12-$B$11)))</f>
        <v/>
      </c>
      <c r="G19" s="97">
        <f>D19/$B$5</f>
        <v/>
      </c>
      <c r="H19" s="98">
        <f>(E19*$B$6+F19*$B$7+G19*$B$8)*100</f>
        <v/>
      </c>
      <c r="I19" s="99">
        <f>1+$B$14*(H19/100)</f>
        <v/>
      </c>
      <c r="J19" s="98">
        <f>ROUND($B$15*(H19/100),0)</f>
        <v/>
      </c>
    </row>
    <row r="20">
      <c r="A20" s="96" t="inlineStr">
        <is>
          <t>普通波动者</t>
        </is>
      </c>
      <c r="B20" s="91" t="n">
        <v>70</v>
      </c>
      <c r="C20" s="92" t="n">
        <v>0.5</v>
      </c>
      <c r="D20" s="91" t="n">
        <v>8</v>
      </c>
      <c r="E20" s="97">
        <f>MAX(0,MIN(1,($B$10-B20)/($B$10-$B$9)))</f>
        <v/>
      </c>
      <c r="F20" s="97">
        <f>MAX(0,MIN(1,($B$12-C20)/($B$12-$B$11)))</f>
        <v/>
      </c>
      <c r="G20" s="97">
        <f>D20/$B$5</f>
        <v/>
      </c>
      <c r="H20" s="98">
        <f>(E20*$B$6+F20*$B$7+G20*$B$8)*100</f>
        <v/>
      </c>
      <c r="I20" s="99">
        <f>1+$B$14*(H20/100)</f>
        <v/>
      </c>
      <c r="J20" s="98">
        <f>ROUND($B$15*(H20/100),0)</f>
        <v/>
      </c>
    </row>
    <row r="21">
      <c r="A21" s="96" t="inlineStr">
        <is>
          <t>极不规律</t>
        </is>
      </c>
      <c r="B21" s="91" t="n">
        <v>130</v>
      </c>
      <c r="C21" s="92" t="n">
        <v>0.9</v>
      </c>
      <c r="D21" s="91" t="n">
        <v>3</v>
      </c>
      <c r="E21" s="97">
        <f>MAX(0,MIN(1,($B$10-B21)/($B$10-$B$9)))</f>
        <v/>
      </c>
      <c r="F21" s="97">
        <f>MAX(0,MIN(1,($B$12-C21)/($B$12-$B$11)))</f>
        <v/>
      </c>
      <c r="G21" s="97">
        <f>D21/$B$5</f>
        <v/>
      </c>
      <c r="H21" s="98">
        <f>(E21*$B$6+F21*$B$7+G21*$B$8)*100</f>
        <v/>
      </c>
      <c r="I21" s="99">
        <f>1+$B$14*(H21/100)</f>
        <v/>
      </c>
      <c r="J21" s="98">
        <f>ROUND($B$15*(H21/100),0)</f>
        <v/>
      </c>
    </row>
    <row r="23">
      <c r="A23" s="87" t="inlineStr">
        <is>
          <t>发放（两通道，都在当前 bo 经济内）：① bo日倍率 乘到「每日能量」算出的当日 bo（1.00–1.50，永不&lt;1）；② 每周节律奖励在周报发放。</t>
        </is>
      </c>
    </row>
    <row r="24">
      <c r="A24" s="87" t="inlineStr">
        <is>
          <t>综合产出 ≈ 产出差异(每周) × bo日倍率 + 每周节律奖励。</t>
        </is>
      </c>
    </row>
    <row r="25">
      <c r="A25" s="100" t="inlineStr">
        <is>
          <t>睡眠节律=睡眠中点SD（越小越规律）；活动节律=日步数CV；出勤=窗内日能量≥门槛的天数÷窗口。</t>
        </is>
      </c>
    </row>
    <row r="26">
      <c r="A26" s="100" t="inlineStr">
        <is>
          <t>数据不足：窗内有效睡眠夜过少→睡眠节律按中性0.5(不惩罚)；mean步数=0→活动节律按中性。进阶可换学界 SRI 指数。</t>
        </is>
      </c>
    </row>
    <row r="27">
      <c r="A27" s="100" t="inlineStr">
        <is>
          <t>反焦虑：滚动窗+缓慢滚出，断一两天只小幅下降，绝无“连击清零”。</t>
        </is>
      </c>
    </row>
  </sheetData>
  <mergeCells count="5">
    <mergeCell ref="A23:J23"/>
    <mergeCell ref="A27:J27"/>
    <mergeCell ref="A26:J26"/>
    <mergeCell ref="A24:J24"/>
    <mergeCell ref="A25:J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44" min="1" max="1"/>
    <col width="46" customWidth="1" style="44" min="2" max="2"/>
    <col width="60" customWidth="1" style="44" min="3" max="3"/>
  </cols>
  <sheetData>
    <row r="1" ht="17.25" customHeight="1" s="45">
      <c r="A1" s="62" t="inlineStr">
        <is>
          <t>文献来源（曲线断点依据）</t>
        </is>
      </c>
    </row>
    <row r="3" ht="16.5" customHeight="1" s="45">
      <c r="A3" s="64" t="inlineStr">
        <is>
          <t>指标</t>
        </is>
      </c>
      <c r="B3" s="64" t="inlineStr">
        <is>
          <t>结论(用于曲线)</t>
        </is>
      </c>
      <c r="C3" s="64" t="inlineStr">
        <is>
          <t>出处</t>
        </is>
      </c>
    </row>
    <row r="4" ht="45.75" customHeight="1" s="45">
      <c r="A4" s="101" t="inlineStr">
        <is>
          <t>步数</t>
        </is>
      </c>
      <c r="B4" s="67" t="inlineStr">
        <is>
          <t>死亡率随步数下降, ~8,000步封顶(&lt;60岁8–10k, ≥60岁6–8k); “1万步”无强证据; 走多不有害只是趋平</t>
        </is>
      </c>
      <c r="C4" s="72" t="inlineStr">
        <is>
          <t>Paluch et al. 2022, Lancet Public Health, 15-cohort meta-analysis — https://pmc.ncbi.nlm.nih.gov/articles/PMC9289978/</t>
        </is>
      </c>
    </row>
    <row r="5" ht="45.75" customHeight="1" s="45">
      <c r="A5" s="101" t="inlineStr">
        <is>
          <t>睡眠</t>
        </is>
      </c>
      <c r="B5" s="72" t="inlineStr">
        <is>
          <t>U型, 最优~7h; 短睡每−1h风险×1.06, 长睡每+1h风险×1.13(长睡罚更狠)</t>
        </is>
      </c>
      <c r="C5" s="72" t="inlineStr">
        <is>
          <t>Sleep duration &amp; all-cause mortality meta-analyses — https://pmc.ncbi.nlm.nih.gov/articles/PMC2864873/ ; https://www.ahajournals.org/doi/10.1161/JAHA.117.005947</t>
        </is>
      </c>
    </row>
    <row r="6" ht="45.75" customHeight="1" s="45">
      <c r="A6" s="101" t="inlineStr">
        <is>
          <t>睡眠规律</t>
        </is>
      </c>
      <c r="B6" s="67" t="inlineStr">
        <is>
          <t>睡眠“规律性”比时长更能预测死亡率(印证“Pibo吃规律”)</t>
        </is>
      </c>
      <c r="C6" s="72" t="inlineStr">
        <is>
          <t>Windred et al. 2024, SLEEP — https://academic.oup.com/sleep/article/47/1/zsad253/7280269</t>
        </is>
      </c>
    </row>
    <row r="7" ht="45.75" customHeight="1" s="45">
      <c r="A7" s="101" t="inlineStr">
        <is>
          <t>运动</t>
        </is>
      </c>
      <c r="B7" s="72" t="inlineStr">
        <is>
          <t>WHO: 150–300min/周中等(或75–150min/周高强度); 收益~300min/周后趋平, 2–4倍仍微益, 极端非明显有害</t>
        </is>
      </c>
      <c r="C7" s="72" t="inlineStr">
        <is>
          <t>WHO 2020 Guidelines — https://pmc.ncbi.nlm.nih.gov/articles/PMC7719906/ ; AHA 150–600min — https://newsroom.heart.org/news/new-study-finds-lowest-risk-of-death-was-among-adults-who-exercised-150-600-minutesweek</t>
        </is>
      </c>
    </row>
    <row r="8" ht="45.75" customHeight="1" s="45">
      <c r="A8" s="102" t="inlineStr">
        <is>
          <t>HRV/静息心率</t>
        </is>
      </c>
      <c r="B8" s="72" t="inlineStr">
        <is>
          <t>HRV越高/越接近个人基线越好(健康均值~42ms); 低HRV↔疾病; 用作恢复门控/过劳信号</t>
        </is>
      </c>
      <c r="C8" s="72" t="inlineStr">
        <is>
          <t>WebMD HRV overview — https://www.webmd.com/heart/what-is-heart-rate-variability ; HRV &amp; longevity — https://www.ncbi.nlm.nih.gov/pmc/articles/PMC7527628/</t>
        </is>
      </c>
    </row>
    <row r="10" ht="16.5" customHeight="1" s="45">
      <c r="A10" s="76" t="inlineStr">
        <is>
          <t>注：曲线取文献“形状与拐点”；绝对分值为可调旋钮, 锁定前按真实校准数据微调。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2026-06-26T17:25:24Z</dcterms:created>
  <dcterms:modified xmlns:dcterms="http://purl.org/dc/terms/" xmlns:xsi="http://www.w3.org/2001/XMLSchema-instance" xsi:type="dcterms:W3CDTF">2026-06-29T10:07:29Z</dcterms:modified>
  <cp:revision>0</cp:revision>
</cp:coreProperties>
</file>